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7b096b2d3541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环境对比" sheetId="1" r:id="Re0859d10a8a64b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"/>
    <x:numFmt numFmtId="201" formatCode="0.0000x"/>
  </x:numFmts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i/>
      <x:sz val="11"/>
      <x:color rgb="FF7F600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BF9000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</x:fills>
  <x:borders count="4">
    <x:border/>
    <x:border>
      <x:right style="thin">
        <x:color rgb="FF9EADBA"/>
      </x:right>
    </x:border>
    <x:border>
      <x:left style="thin">
        <x:color rgb="FF9EADBA"/>
      </x:left>
      <x:right style="thin">
        <x:color rgb="FF9EADBA"/>
      </x:right>
    </x:border>
    <x:border>
      <x:left style="thin">
        <x:color rgb="FF9EADBA"/>
      </x:left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10" borderId="0" xfId="0" applyNumberFormat="1" applyFont="1" applyFill="1" applyBorder="1"/>
    <x:xf numFmtId="0" fontId="0" fillId="11" borderId="0" xfId="0" applyNumberFormat="1" applyFont="1" applyFill="1" applyBorder="1"/>
    <x:xf numFmtId="0" fontId="1" fillId="8" borderId="0" xfId="0" applyNumberFormat="1" applyFont="1" applyFill="1" applyBorder="1"/>
    <x:xf numFmtId="0" fontId="1" fillId="9" borderId="0" xfId="0" applyNumberFormat="1" applyFont="1" applyFill="1" applyBorder="1"/>
    <x:xf numFmtId="0" fontId="1" fillId="10" borderId="0" xfId="0" applyNumberFormat="1" applyFont="1" applyFill="1" applyBorder="1"/>
    <x:xf numFmtId="0" fontId="1" fillId="11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0" fontId="0" fillId="4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201" fontId="0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9c4faa78d44b55" /><Relationship Type="http://schemas.openxmlformats.org/officeDocument/2006/relationships/theme" Target="/xl/theme/theme1.xml" Id="R95fe6e33eb0e46a0" /><Relationship Type="http://schemas.openxmlformats.org/officeDocument/2006/relationships/sharedStrings" Target="/xl/sharedStrings.xml" Id="R5d73b4789ba049b4" /><Relationship Type="http://schemas.openxmlformats.org/officeDocument/2006/relationships/worksheet" Target="/xl/worksheets/sheet1.xml" Id="Re0859d10a8a64bca" /></Relationships>
</file>

<file path=xl/tables/table1.xml><?xml version="1.0" encoding="utf-8"?>
<x:table xmlns:x="http://schemas.openxmlformats.org/spreadsheetml/2006/main" id="1" name="GemmComparison" displayName="GemmComparison" ref="A5:L19" headerRowCount="1" totalsRowCount="0" totalsRowShown="0">
  <x:tableColumns count="12">
    <x:tableColumn id="1" name="相关 L"/>
    <x:tableColumn id="2" name="来源算子"/>
    <x:tableColumn id="3" name="M"/>
    <x:tableColumn id="4" name="N"/>
    <x:tableColumn id="5" name="K"/>
    <x:tableColumn id="6" name="CUTLASS最佳配置（脚本回填）"/>
    <x:tableColumn id="7" name="CUTLASS GFLOPS（脚本回填）"/>
    <x:tableColumn id="8" name="HGEMM（自研）GFLOPS"/>
    <x:tableColumn id="9" name="HGEMM（CUDA）GFLOPS"/>
    <x:tableColumn id="10" name="自研/CUTLASS 加速比"/>
    <x:tableColumn id="11" name="CUDA/CUTLASS 加速比"/>
    <x:tableColumn id="12" name="人工筛选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4f106c0dbb74a1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6" hidden="0" customWidth="1"/>
    <x:col min="4" max="4" width="10" hidden="0" customWidth="1"/>
    <x:col min="5" max="5" width="14" hidden="0" customWidth="1"/>
    <x:col min="6" max="6" width="30" hidden="0" customWidth="1"/>
    <x:col min="7" max="7" width="20" hidden="0" customWidth="1"/>
    <x:col min="8" max="8" width="22" hidden="0" customWidth="1"/>
    <x:col min="9" max="9" width="22" hidden="0" customWidth="1"/>
    <x:col min="10" max="10" width="21" hidden="0" customWidth="1"/>
    <x:col min="11" max="11" width="21" hidden="0" customWidth="1"/>
    <x:col min="12" max="12" width="28" hidden="0" customWidth="1"/>
  </x:cols>
  <x:sheetData>
    <x:row r="1" ht="30" customHeight="1">
      <x:c r="A1" s="3" t="str">
        <x:v>Qwen2.5 Decode GEMM 性能对比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模型</x:v>
      </x:c>
      <x:c r="B2" s="7" t="str">
        <x:v>Qwen2.5-7B</x:v>
      </x:c>
      <x:c r="C2" s="7" t="str">
        <x:v>Decode Batch</x:v>
      </x:c>
      <x:c r="D2" s="7" t="n">
        <x:v>1</x:v>
      </x:c>
      <x:c r="E2" s="7" t="str">
        <x:v>上下文长度</x:v>
      </x:c>
      <x:c r="F2" s="7" t="str">
        <x:v>128, 256, 512, 1024, 2048</x:v>
      </x:c>
      <x:c r="G2" s="7" t="str">
        <x:v>CUTLASS来源</x:v>
      </x:c>
      <x:c r="H2" s="7" t="str">
        <x:v>脚本自动回填</x:v>
      </x:c>
      <x:c r="I2" s="7" t="str">
        <x:v>HGEMM（自研）</x:v>
      </x:c>
      <x:c r="J2" s="7" t="str">
        <x:v>人工筛选</x:v>
      </x:c>
      <x:c r="K2" s="7" t="str">
        <x:v>HGEMM（CUDA）</x:v>
      </x:c>
      <x:c r="L2" s="8" t="str">
        <x:v>人工筛选</x:v>
      </x:c>
    </x:row>
    <x:row r="3" ht="42" customHeight="1">
      <x:c r="A3" s="35" t="str">
        <x:v>使用方法：Decode GEMM 严格按 M/N/K 去重；“-”表示该 GEMM 与 L 无关。运行 run_gemm.sh 保存 CUTLASS 日志，再用 collect_gemm_results.py 回填；两类 HGEMM 请按相同 M/N/K 人工筛选。</x:v>
      </x:c>
      <x:c r="B3" s="35"/>
      <x:c r="C3" s="35"/>
      <x:c r="D3" s="35"/>
      <x:c r="E3" s="35"/>
      <x:c r="F3" s="35"/>
      <x:c r="G3" s="35"/>
      <x:c r="H3" s="35"/>
      <x:c r="I3" s="35"/>
      <x:c r="J3" s="35"/>
      <x:c r="K3" s="35"/>
      <x:c r="L3" s="35"/>
    </x:row>
    <x:row r="4" ht="8" customHeight="1"/>
    <x:row r="5">
      <x:c r="A5" s="22" t="str">
        <x:v>相关 L</x:v>
      </x:c>
      <x:c r="B5" s="22" t="str">
        <x:v>来源算子</x:v>
      </x:c>
      <x:c r="C5" s="22" t="str">
        <x:v>M</x:v>
      </x:c>
      <x:c r="D5" s="22" t="str">
        <x:v>N</x:v>
      </x:c>
      <x:c r="E5" s="22" t="str">
        <x:v>K</x:v>
      </x:c>
      <x:c r="F5" s="23" t="str">
        <x:v>CUTLASS最佳配置（脚本回填）</x:v>
      </x:c>
      <x:c r="G5" s="23" t="str">
        <x:v>CUTLASS GFLOPS（脚本回填）</x:v>
      </x:c>
      <x:c r="H5" s="24" t="str">
        <x:v>HGEMM（自研）GFLOPS</x:v>
      </x:c>
      <x:c r="I5" s="25" t="str">
        <x:v>HGEMM（CUDA）GFLOPS</x:v>
      </x:c>
      <x:c r="J5" s="26" t="str">
        <x:v>自研/CUTLASS 加速比</x:v>
      </x:c>
      <x:c r="K5" s="26" t="str">
        <x:v>CUDA/CUTLASS 加速比</x:v>
      </x:c>
      <x:c r="L5" s="24" t="str">
        <x:v>人工筛选备注</x:v>
      </x:c>
    </x:row>
    <x:row r="6">
      <x:c r="A6" s="22" t="str">
        <x:v>-</x:v>
      </x:c>
      <x:c r="B6" s="22" t="str">
        <x:v>Q / Attention Out</x:v>
      </x:c>
      <x:c r="C6" s="22" t="n">
        <x:v>1</x:v>
      </x:c>
      <x:c r="D6" s="22" t="n">
        <x:v>3584</x:v>
      </x:c>
      <x:c r="E6" s="22" t="n">
        <x:v>3584</x:v>
      </x:c>
      <x:c r="F6" s="27"/>
      <x:c r="G6" s="31"/>
      <x:c r="H6" s="32"/>
      <x:c r="I6" s="33"/>
      <x:c r="J6" s="34" t="str">
        <x:f>IFERROR(H6/G6,"")</x:f>
      </x:c>
      <x:c r="K6" s="34" t="str">
        <x:f>IFERROR(I6/G6,"")</x:f>
      </x:c>
      <x:c r="L6" s="28"/>
    </x:row>
    <x:row r="7">
      <x:c r="A7" s="22" t="str">
        <x:v>-</x:v>
      </x:c>
      <x:c r="B7" s="22" t="str">
        <x:v>K / V</x:v>
      </x:c>
      <x:c r="C7" s="22" t="n">
        <x:v>1</x:v>
      </x:c>
      <x:c r="D7" s="22" t="n">
        <x:v>512</x:v>
      </x:c>
      <x:c r="E7" s="22" t="n">
        <x:v>3584</x:v>
      </x:c>
      <x:c r="F7" s="27"/>
      <x:c r="G7" s="31"/>
      <x:c r="H7" s="32"/>
      <x:c r="I7" s="33"/>
      <x:c r="J7" s="34" t="str">
        <x:f>IFERROR(H7/G7,"")</x:f>
      </x:c>
      <x:c r="K7" s="34" t="str">
        <x:f>IFERROR(I7/G7,"")</x:f>
      </x:c>
      <x:c r="L7" s="28"/>
    </x:row>
    <x:row r="8">
      <x:c r="A8" s="22" t="str">
        <x:v>-</x:v>
      </x:c>
      <x:c r="B8" s="22" t="str">
        <x:v>MLP Up/Gate</x:v>
      </x:c>
      <x:c r="C8" s="22" t="n">
        <x:v>1</x:v>
      </x:c>
      <x:c r="D8" s="22" t="n">
        <x:v>37888</x:v>
      </x:c>
      <x:c r="E8" s="22" t="n">
        <x:v>3584</x:v>
      </x:c>
      <x:c r="F8" s="27"/>
      <x:c r="G8" s="31"/>
      <x:c r="H8" s="32"/>
      <x:c r="I8" s="33"/>
      <x:c r="J8" s="34" t="str">
        <x:f>IFERROR(H8/G8,"")</x:f>
      </x:c>
      <x:c r="K8" s="34" t="str">
        <x:f>IFERROR(I8/G8,"")</x:f>
      </x:c>
      <x:c r="L8" s="28"/>
    </x:row>
    <x:row r="9">
      <x:c r="A9" s="22" t="str">
        <x:v>-</x:v>
      </x:c>
      <x:c r="B9" s="22" t="str">
        <x:v>MLP Down</x:v>
      </x:c>
      <x:c r="C9" s="22" t="n">
        <x:v>1</x:v>
      </x:c>
      <x:c r="D9" s="22" t="n">
        <x:v>3584</x:v>
      </x:c>
      <x:c r="E9" s="22" t="n">
        <x:v>18944</x:v>
      </x:c>
      <x:c r="F9" s="27"/>
      <x:c r="G9" s="31"/>
      <x:c r="H9" s="32"/>
      <x:c r="I9" s="33"/>
      <x:c r="J9" s="34" t="str">
        <x:f>IFERROR(H9/G9,"")</x:f>
      </x:c>
      <x:c r="K9" s="34" t="str">
        <x:f>IFERROR(I9/G9,"")</x:f>
      </x:c>
      <x:c r="L9" s="28"/>
    </x:row>
    <x:row r="10">
      <x:c r="A10" s="22" t="str">
        <x:v>-</x:v>
      </x:c>
      <x:c r="B10" s="22" t="str">
        <x:v>LM Head</x:v>
      </x:c>
      <x:c r="C10" s="22" t="n">
        <x:v>1</x:v>
      </x:c>
      <x:c r="D10" s="22" t="n">
        <x:v>152064</x:v>
      </x:c>
      <x:c r="E10" s="22" t="n">
        <x:v>3584</x:v>
      </x:c>
      <x:c r="F10" s="27"/>
      <x:c r="G10" s="31"/>
      <x:c r="H10" s="32"/>
      <x:c r="I10" s="33"/>
      <x:c r="J10" s="34" t="str">
        <x:f>IFERROR(H10/G10,"")</x:f>
      </x:c>
      <x:c r="K10" s="34" t="str">
        <x:f>IFERROR(I10/G10,"")</x:f>
      </x:c>
      <x:c r="L10" s="28"/>
    </x:row>
    <x:row r="11">
      <x:c r="A11" s="22" t="str">
        <x:v>128</x:v>
      </x:c>
      <x:c r="B11" s="22" t="str">
        <x:v>Attention QK^T / Attention AV</x:v>
      </x:c>
      <x:c r="C11" s="22" t="n">
        <x:v>28</x:v>
      </x:c>
      <x:c r="D11" s="22" t="n">
        <x:v>128</x:v>
      </x:c>
      <x:c r="E11" s="22" t="n">
        <x:v>128</x:v>
      </x:c>
      <x:c r="F11" s="27"/>
      <x:c r="G11" s="31"/>
      <x:c r="H11" s="32"/>
      <x:c r="I11" s="33"/>
      <x:c r="J11" s="34" t="str">
        <x:f>IFERROR(H11/G11,"")</x:f>
      </x:c>
      <x:c r="K11" s="34" t="str">
        <x:f>IFERROR(I11/G11,"")</x:f>
      </x:c>
      <x:c r="L11" s="28"/>
    </x:row>
    <x:row r="12">
      <x:c r="A12" s="22" t="str">
        <x:v>256</x:v>
      </x:c>
      <x:c r="B12" s="22" t="str">
        <x:v>Attention QK^T</x:v>
      </x:c>
      <x:c r="C12" s="22" t="n">
        <x:v>28</x:v>
      </x:c>
      <x:c r="D12" s="22" t="n">
        <x:v>256</x:v>
      </x:c>
      <x:c r="E12" s="22" t="n">
        <x:v>128</x:v>
      </x:c>
      <x:c r="F12" s="27"/>
      <x:c r="G12" s="31"/>
      <x:c r="H12" s="32"/>
      <x:c r="I12" s="33"/>
      <x:c r="J12" s="34" t="str">
        <x:f>IFERROR(H12/G12,"")</x:f>
      </x:c>
      <x:c r="K12" s="34" t="str">
        <x:f>IFERROR(I12/G12,"")</x:f>
      </x:c>
      <x:c r="L12" s="28"/>
    </x:row>
    <x:row r="13">
      <x:c r="A13" s="22" t="str">
        <x:v>256</x:v>
      </x:c>
      <x:c r="B13" s="22" t="str">
        <x:v>Attention AV</x:v>
      </x:c>
      <x:c r="C13" s="22" t="n">
        <x:v>28</x:v>
      </x:c>
      <x:c r="D13" s="22" t="n">
        <x:v>128</x:v>
      </x:c>
      <x:c r="E13" s="22" t="n">
        <x:v>256</x:v>
      </x:c>
      <x:c r="F13" s="27"/>
      <x:c r="G13" s="31"/>
      <x:c r="H13" s="32"/>
      <x:c r="I13" s="33"/>
      <x:c r="J13" s="34" t="str">
        <x:f>IFERROR(H13/G13,"")</x:f>
      </x:c>
      <x:c r="K13" s="34" t="str">
        <x:f>IFERROR(I13/G13,"")</x:f>
      </x:c>
      <x:c r="L13" s="28"/>
    </x:row>
    <x:row r="14">
      <x:c r="A14" s="22" t="str">
        <x:v>512</x:v>
      </x:c>
      <x:c r="B14" s="22" t="str">
        <x:v>Attention QK^T</x:v>
      </x:c>
      <x:c r="C14" s="22" t="n">
        <x:v>28</x:v>
      </x:c>
      <x:c r="D14" s="22" t="n">
        <x:v>512</x:v>
      </x:c>
      <x:c r="E14" s="22" t="n">
        <x:v>128</x:v>
      </x:c>
      <x:c r="F14" s="27"/>
      <x:c r="G14" s="31"/>
      <x:c r="H14" s="32"/>
      <x:c r="I14" s="33"/>
      <x:c r="J14" s="34" t="str">
        <x:f>IFERROR(H14/G14,"")</x:f>
      </x:c>
      <x:c r="K14" s="34" t="str">
        <x:f>IFERROR(I14/G14,"")</x:f>
      </x:c>
      <x:c r="L14" s="28"/>
    </x:row>
    <x:row r="15">
      <x:c r="A15" s="22" t="str">
        <x:v>512</x:v>
      </x:c>
      <x:c r="B15" s="22" t="str">
        <x:v>Attention AV</x:v>
      </x:c>
      <x:c r="C15" s="22" t="n">
        <x:v>28</x:v>
      </x:c>
      <x:c r="D15" s="22" t="n">
        <x:v>128</x:v>
      </x:c>
      <x:c r="E15" s="22" t="n">
        <x:v>512</x:v>
      </x:c>
      <x:c r="F15" s="27"/>
      <x:c r="G15" s="31"/>
      <x:c r="H15" s="32"/>
      <x:c r="I15" s="33"/>
      <x:c r="J15" s="34" t="str">
        <x:f>IFERROR(H15/G15,"")</x:f>
      </x:c>
      <x:c r="K15" s="34" t="str">
        <x:f>IFERROR(I15/G15,"")</x:f>
      </x:c>
      <x:c r="L15" s="28"/>
    </x:row>
    <x:row r="16">
      <x:c r="A16" s="22" t="str">
        <x:v>1024</x:v>
      </x:c>
      <x:c r="B16" s="22" t="str">
        <x:v>Attention QK^T</x:v>
      </x:c>
      <x:c r="C16" s="22" t="n">
        <x:v>28</x:v>
      </x:c>
      <x:c r="D16" s="22" t="n">
        <x:v>1024</x:v>
      </x:c>
      <x:c r="E16" s="22" t="n">
        <x:v>128</x:v>
      </x:c>
      <x:c r="F16" s="27"/>
      <x:c r="G16" s="31"/>
      <x:c r="H16" s="32"/>
      <x:c r="I16" s="33"/>
      <x:c r="J16" s="34" t="str">
        <x:f>IFERROR(H16/G16,"")</x:f>
      </x:c>
      <x:c r="K16" s="34" t="str">
        <x:f>IFERROR(I16/G16,"")</x:f>
      </x:c>
      <x:c r="L16" s="28"/>
    </x:row>
    <x:row r="17">
      <x:c r="A17" s="22" t="str">
        <x:v>1024</x:v>
      </x:c>
      <x:c r="B17" s="22" t="str">
        <x:v>Attention AV</x:v>
      </x:c>
      <x:c r="C17" s="22" t="n">
        <x:v>28</x:v>
      </x:c>
      <x:c r="D17" s="22" t="n">
        <x:v>128</x:v>
      </x:c>
      <x:c r="E17" s="22" t="n">
        <x:v>1024</x:v>
      </x:c>
      <x:c r="F17" s="27"/>
      <x:c r="G17" s="31"/>
      <x:c r="H17" s="32"/>
      <x:c r="I17" s="33"/>
      <x:c r="J17" s="34" t="str">
        <x:f>IFERROR(H17/G17,"")</x:f>
      </x:c>
      <x:c r="K17" s="34" t="str">
        <x:f>IFERROR(I17/G17,"")</x:f>
      </x:c>
      <x:c r="L17" s="28"/>
    </x:row>
    <x:row r="18">
      <x:c r="A18" s="22" t="str">
        <x:v>2048</x:v>
      </x:c>
      <x:c r="B18" s="22" t="str">
        <x:v>Attention QK^T</x:v>
      </x:c>
      <x:c r="C18" s="22" t="n">
        <x:v>28</x:v>
      </x:c>
      <x:c r="D18" s="22" t="n">
        <x:v>2048</x:v>
      </x:c>
      <x:c r="E18" s="22" t="n">
        <x:v>128</x:v>
      </x:c>
      <x:c r="F18" s="27"/>
      <x:c r="G18" s="31"/>
      <x:c r="H18" s="32"/>
      <x:c r="I18" s="33"/>
      <x:c r="J18" s="34" t="str">
        <x:f>IFERROR(H18/G18,"")</x:f>
      </x:c>
      <x:c r="K18" s="34" t="str">
        <x:f>IFERROR(I18/G18,"")</x:f>
      </x:c>
      <x:c r="L18" s="28"/>
    </x:row>
    <x:row r="19">
      <x:c r="A19" s="22" t="str">
        <x:v>2048</x:v>
      </x:c>
      <x:c r="B19" s="22" t="str">
        <x:v>Attention AV</x:v>
      </x:c>
      <x:c r="C19" s="22" t="n">
        <x:v>28</x:v>
      </x:c>
      <x:c r="D19" s="22" t="n">
        <x:v>128</x:v>
      </x:c>
      <x:c r="E19" s="22" t="n">
        <x:v>2048</x:v>
      </x:c>
      <x:c r="F19" s="27"/>
      <x:c r="G19" s="31"/>
      <x:c r="H19" s="32"/>
      <x:c r="I19" s="33"/>
      <x:c r="J19" s="34" t="str">
        <x:f>IFERROR(H19/G19,"")</x:f>
      </x:c>
      <x:c r="K19" s="34" t="str">
        <x:f>IFERROR(I19/G19,"")</x:f>
      </x:c>
      <x:c r="L19" s="28"/>
    </x:row>
  </x:sheetData>
  <x:mergeCells>
    <x:mergeCell ref="A1:L1"/>
    <x:mergeCell ref="A3:L3"/>
  </x:mergeCells>
  <x:pageMargins left="0.7" right="0.7" top="0.75" bottom="0.75" header="0.3" footer="0.3"/>
  <x:tableParts count="1">
    <x:tablePart xmlns:r="http://schemas.openxmlformats.org/officeDocument/2006/relationships" r:id="Rc4f106c0dbb74a11"/>
  </x:tableParts>
</x:worksheet>
</file>