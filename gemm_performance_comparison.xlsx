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3e183a44d741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环境对比" sheetId="1" r:id="R87dc70e1d30f46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00"/>
    <x:numFmt numFmtId="201" formatCode="0.0000x"/>
  </x:numFmts>
  <x:fonts count="5">
    <x:font>
      <x:sz val="11"/>
      <x:name val="Carlito"/>
    </x:font>
    <x:font>
      <x:b/>
      <x:sz val="16"/>
      <x:color rgb="FFFFFFFF"/>
      <x:name val="Carlito"/>
    </x:font>
    <x:font>
      <x:sz val="11"/>
      <x:color rgb="FF17365D"/>
      <x:name val="Carlito"/>
    </x:font>
    <x:font>
      <x:i/>
      <x:sz val="11"/>
      <x:color rgb="FF7F6000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4472C4"/>
      </x:patternFill>
    </x:fill>
    <x:fill>
      <x:patternFill patternType="solid">
        <x:fgColor rgb="FFFFFDF2"/>
      </x:patternFill>
    </x:fill>
  </x:fills>
  <x:borders count="4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6" borderId="0" xfId="0" applyNumberFormat="1" applyFont="1" applyFill="1" applyBorder="1"/>
    <x:xf numFmtId="200" fontId="0" fillId="6" borderId="0" xfId="0" applyNumberFormat="1" applyFont="1" applyFill="1" applyBorder="1"/>
  </x:cellXfs>
  <x:cellStyles count="1">
    <x:cellStyle name="Normal" xfId="0"/>
  </x:cellStyles>
  <x:dxfs count="2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301655cf55403a" /><Relationship Type="http://schemas.openxmlformats.org/officeDocument/2006/relationships/theme" Target="/xl/theme/theme1.xml" Id="Rfc509b043d0741d2" /><Relationship Type="http://schemas.openxmlformats.org/officeDocument/2006/relationships/sharedStrings" Target="/xl/sharedStrings.xml" Id="Re666446724a94e23" /><Relationship Type="http://schemas.openxmlformats.org/officeDocument/2006/relationships/worksheet" Target="/xl/worksheets/sheet1.xml" Id="R87dc70e1d30f46a0" /></Relationships>
</file>

<file path=xl/tables/table1.xml><?xml version="1.0" encoding="utf-8"?>
<x:table xmlns:x="http://schemas.openxmlformats.org/spreadsheetml/2006/main" id="1" name="GemmComparisonTable" displayName="GemmComparisonTable" ref="A5:J50" headerRowCount="1" totalsRowCount="0" totalsRowShown="0">
  <x:tableColumns count="10">
    <x:tableColumn id="1" name="上下文长度"/>
    <x:tableColumn id="2" name="算子"/>
    <x:tableColumn id="3" name="M"/>
    <x:tableColumn id="4" name="N"/>
    <x:tableColumn id="5" name="K"/>
    <x:tableColumn id="6" name="原生最佳配置"/>
    <x:tableColumn id="7" name="原生 GFLOPS"/>
    <x:tableColumn id="8" name="自研最佳配置"/>
    <x:tableColumn id="9" name="自研 GFLOPS"/>
    <x:tableColumn id="10" name="自研/原生加速比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a81dc51d887403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10" hidden="0" customWidth="1"/>
    <x:col min="4" max="4" width="12" hidden="0" customWidth="1"/>
    <x:col min="5" max="5" width="12" hidden="0" customWidth="1"/>
    <x:col min="6" max="6" width="25" hidden="0" customWidth="1"/>
    <x:col min="7" max="7" width="16" hidden="0" customWidth="1"/>
    <x:col min="8" max="8" width="25" hidden="0" customWidth="1"/>
    <x:col min="9" max="9" width="16" hidden="0" customWidth="1"/>
    <x:col min="10" max="10" width="18" hidden="0" customWidth="1"/>
  </x:cols>
  <x:sheetData>
    <x:row r="1" ht="30" customHeight="1">
      <x:c r="A1" s="4" t="str">
        <x:v>Qwen2.5 Decode GEMM 性能对比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8" t="str">
        <x:v>模型</x:v>
      </x:c>
      <x:c r="B2" s="9" t="str">
        <x:v>Qwen2.5-7B</x:v>
      </x:c>
      <x:c r="C2" s="9" t="str">
        <x:v>Decode Batch</x:v>
      </x:c>
      <x:c r="D2" s="9" t="n">
        <x:v>1</x:v>
      </x:c>
      <x:c r="E2" s="9" t="str">
        <x:v>上下文长度</x:v>
      </x:c>
      <x:c r="F2" s="9" t="str">
        <x:v>128, 256, 512, 1024, 2048</x:v>
      </x:c>
      <x:c r="G2" s="9" t="str">
        <x:v>结果来源</x:v>
      </x:c>
      <x:c r="H2" s="9" t="str">
        <x:v>collect_gemm_results.py</x:v>
      </x:c>
      <x:c r="I2" s="9" t="str">
        <x:v>加速比</x:v>
      </x:c>
      <x:c r="J2" s="10" t="str">
        <x:v>自研 GFLOPS / 原生 GFLOPS</x:v>
      </x:c>
    </x:row>
    <x:row r="3" ht="28" customHeight="1">
      <x:c r="A3" s="13" t="str">
        <x:v>使用方法：原生与自研环境分别保存 run_gemm.sh 日志，再用 collect_gemm_results.py 增量合并到同一 CSV；将 CSV 数据粘贴到对应结果列。</x:v>
      </x:c>
      <x:c r="B3" s="13"/>
      <x:c r="C3" s="13"/>
      <x:c r="D3" s="13"/>
      <x:c r="E3" s="13"/>
      <x:c r="F3" s="13"/>
      <x:c r="G3" s="13"/>
      <x:c r="H3" s="13"/>
      <x:c r="I3" s="13"/>
      <x:c r="J3" s="13"/>
    </x:row>
    <x:row r="5" ht="20" customHeight="1">
      <x:c r="A5" s="18" t="str">
        <x:v>上下文长度</x:v>
      </x:c>
      <x:c r="B5" s="18" t="str">
        <x:v>算子</x:v>
      </x:c>
      <x:c r="C5" s="18" t="str">
        <x:v>M</x:v>
      </x:c>
      <x:c r="D5" s="18" t="str">
        <x:v>N</x:v>
      </x:c>
      <x:c r="E5" s="18" t="str">
        <x:v>K</x:v>
      </x:c>
      <x:c r="F5" s="18" t="str">
        <x:v>原生最佳配置</x:v>
      </x:c>
      <x:c r="G5" s="18" t="str">
        <x:v>原生 GFLOPS</x:v>
      </x:c>
      <x:c r="H5" s="18" t="str">
        <x:v>自研最佳配置</x:v>
      </x:c>
      <x:c r="I5" s="18" t="str">
        <x:v>自研 GFLOPS</x:v>
      </x:c>
      <x:c r="J5" s="18" t="str">
        <x:v>自研/原生加速比</x:v>
      </x:c>
    </x:row>
    <x:row r="6" ht="20" customHeight="1">
      <x:c r="A6" s="19" t="n">
        <x:v>128</x:v>
      </x:c>
      <x:c r="B6" s="19" t="str">
        <x:v>Q</x:v>
      </x:c>
      <x:c r="C6" s="19" t="n">
        <x:v>1</x:v>
      </x:c>
      <x:c r="D6" s="19" t="n">
        <x:v>3584</x:v>
      </x:c>
      <x:c r="E6" s="19" t="n">
        <x:v>3584</x:v>
      </x:c>
      <x:c r="F6" s="22" t="str"/>
      <x:c r="G6" s="23"/>
      <x:c r="H6" s="22" t="str"/>
      <x:c r="I6" s="23"/>
      <x:c r="J6" s="21" t="str">
        <x:f>IFERROR(I6/G6,"")</x:f>
      </x:c>
    </x:row>
    <x:row r="7" ht="20" customHeight="1">
      <x:c r="A7" s="19" t="n">
        <x:v>128</x:v>
      </x:c>
      <x:c r="B7" s="19" t="str">
        <x:v>K</x:v>
      </x:c>
      <x:c r="C7" s="19" t="n">
        <x:v>1</x:v>
      </x:c>
      <x:c r="D7" s="19" t="n">
        <x:v>512</x:v>
      </x:c>
      <x:c r="E7" s="19" t="n">
        <x:v>3584</x:v>
      </x:c>
      <x:c r="F7" s="22" t="str"/>
      <x:c r="G7" s="23"/>
      <x:c r="H7" s="22" t="str"/>
      <x:c r="I7" s="23"/>
      <x:c r="J7" s="21" t="str">
        <x:f>IFERROR(I7/G7,"")</x:f>
      </x:c>
    </x:row>
    <x:row r="8" ht="20" customHeight="1">
      <x:c r="A8" s="19" t="n">
        <x:v>128</x:v>
      </x:c>
      <x:c r="B8" s="19" t="str">
        <x:v>V</x:v>
      </x:c>
      <x:c r="C8" s="19" t="n">
        <x:v>1</x:v>
      </x:c>
      <x:c r="D8" s="19" t="n">
        <x:v>512</x:v>
      </x:c>
      <x:c r="E8" s="19" t="n">
        <x:v>3584</x:v>
      </x:c>
      <x:c r="F8" s="22" t="str"/>
      <x:c r="G8" s="23"/>
      <x:c r="H8" s="22" t="str"/>
      <x:c r="I8" s="23"/>
      <x:c r="J8" s="21" t="str">
        <x:f>IFERROR(I8/G8,"")</x:f>
      </x:c>
    </x:row>
    <x:row r="9" ht="20" customHeight="1">
      <x:c r="A9" s="19" t="n">
        <x:v>128</x:v>
      </x:c>
      <x:c r="B9" s="19" t="str">
        <x:v>Attention QK^T</x:v>
      </x:c>
      <x:c r="C9" s="19" t="n">
        <x:v>28</x:v>
      </x:c>
      <x:c r="D9" s="19" t="n">
        <x:v>128</x:v>
      </x:c>
      <x:c r="E9" s="19" t="n">
        <x:v>128</x:v>
      </x:c>
      <x:c r="F9" s="22" t="str"/>
      <x:c r="G9" s="23"/>
      <x:c r="H9" s="22" t="str"/>
      <x:c r="I9" s="23"/>
      <x:c r="J9" s="21" t="str">
        <x:f>IFERROR(I9/G9,"")</x:f>
      </x:c>
    </x:row>
    <x:row r="10" ht="20" customHeight="1">
      <x:c r="A10" s="19" t="n">
        <x:v>128</x:v>
      </x:c>
      <x:c r="B10" s="19" t="str">
        <x:v>Attention AV</x:v>
      </x:c>
      <x:c r="C10" s="19" t="n">
        <x:v>28</x:v>
      </x:c>
      <x:c r="D10" s="19" t="n">
        <x:v>128</x:v>
      </x:c>
      <x:c r="E10" s="19" t="n">
        <x:v>128</x:v>
      </x:c>
      <x:c r="F10" s="22" t="str"/>
      <x:c r="G10" s="23"/>
      <x:c r="H10" s="22" t="str"/>
      <x:c r="I10" s="23"/>
      <x:c r="J10" s="21" t="str">
        <x:f>IFERROR(I10/G10,"")</x:f>
      </x:c>
    </x:row>
    <x:row r="11" ht="20" customHeight="1">
      <x:c r="A11" s="19" t="n">
        <x:v>128</x:v>
      </x:c>
      <x:c r="B11" s="19" t="str">
        <x:v>Attention Out</x:v>
      </x:c>
      <x:c r="C11" s="19" t="n">
        <x:v>1</x:v>
      </x:c>
      <x:c r="D11" s="19" t="n">
        <x:v>3584</x:v>
      </x:c>
      <x:c r="E11" s="19" t="n">
        <x:v>3584</x:v>
      </x:c>
      <x:c r="F11" s="22" t="str"/>
      <x:c r="G11" s="23"/>
      <x:c r="H11" s="22" t="str"/>
      <x:c r="I11" s="23"/>
      <x:c r="J11" s="21" t="str">
        <x:f>IFERROR(I11/G11,"")</x:f>
      </x:c>
    </x:row>
    <x:row r="12" ht="20" customHeight="1">
      <x:c r="A12" s="19" t="n">
        <x:v>128</x:v>
      </x:c>
      <x:c r="B12" s="19" t="str">
        <x:v>MLP Up/Gate</x:v>
      </x:c>
      <x:c r="C12" s="19" t="n">
        <x:v>1</x:v>
      </x:c>
      <x:c r="D12" s="19" t="n">
        <x:v>37888</x:v>
      </x:c>
      <x:c r="E12" s="19" t="n">
        <x:v>3584</x:v>
      </x:c>
      <x:c r="F12" s="22" t="str"/>
      <x:c r="G12" s="23"/>
      <x:c r="H12" s="22" t="str"/>
      <x:c r="I12" s="23"/>
      <x:c r="J12" s="21" t="str">
        <x:f>IFERROR(I12/G12,"")</x:f>
      </x:c>
    </x:row>
    <x:row r="13" ht="20" customHeight="1">
      <x:c r="A13" s="19" t="n">
        <x:v>128</x:v>
      </x:c>
      <x:c r="B13" s="19" t="str">
        <x:v>MLP Down</x:v>
      </x:c>
      <x:c r="C13" s="19" t="n">
        <x:v>1</x:v>
      </x:c>
      <x:c r="D13" s="19" t="n">
        <x:v>3584</x:v>
      </x:c>
      <x:c r="E13" s="19" t="n">
        <x:v>18944</x:v>
      </x:c>
      <x:c r="F13" s="22" t="str"/>
      <x:c r="G13" s="23"/>
      <x:c r="H13" s="22" t="str"/>
      <x:c r="I13" s="23"/>
      <x:c r="J13" s="21" t="str">
        <x:f>IFERROR(I13/G13,"")</x:f>
      </x:c>
    </x:row>
    <x:row r="14" ht="20" customHeight="1">
      <x:c r="A14" s="19" t="n">
        <x:v>128</x:v>
      </x:c>
      <x:c r="B14" s="19" t="str">
        <x:v>LM Head</x:v>
      </x:c>
      <x:c r="C14" s="19" t="n">
        <x:v>1</x:v>
      </x:c>
      <x:c r="D14" s="19" t="n">
        <x:v>152064</x:v>
      </x:c>
      <x:c r="E14" s="19" t="n">
        <x:v>3584</x:v>
      </x:c>
      <x:c r="F14" s="22" t="str"/>
      <x:c r="G14" s="23"/>
      <x:c r="H14" s="22" t="str"/>
      <x:c r="I14" s="23"/>
      <x:c r="J14" s="21" t="str">
        <x:f>IFERROR(I14/G14,"")</x:f>
      </x:c>
    </x:row>
    <x:row r="15" ht="20" customHeight="1">
      <x:c r="A15" s="19" t="n">
        <x:v>256</x:v>
      </x:c>
      <x:c r="B15" s="19" t="str">
        <x:v>Q</x:v>
      </x:c>
      <x:c r="C15" s="19" t="n">
        <x:v>1</x:v>
      </x:c>
      <x:c r="D15" s="19" t="n">
        <x:v>3584</x:v>
      </x:c>
      <x:c r="E15" s="19" t="n">
        <x:v>3584</x:v>
      </x:c>
      <x:c r="F15" s="22" t="str"/>
      <x:c r="G15" s="23"/>
      <x:c r="H15" s="22" t="str"/>
      <x:c r="I15" s="23"/>
      <x:c r="J15" s="21" t="str">
        <x:f>IFERROR(I15/G15,"")</x:f>
      </x:c>
    </x:row>
    <x:row r="16" ht="20" customHeight="1">
      <x:c r="A16" s="19" t="n">
        <x:v>256</x:v>
      </x:c>
      <x:c r="B16" s="19" t="str">
        <x:v>K</x:v>
      </x:c>
      <x:c r="C16" s="19" t="n">
        <x:v>1</x:v>
      </x:c>
      <x:c r="D16" s="19" t="n">
        <x:v>512</x:v>
      </x:c>
      <x:c r="E16" s="19" t="n">
        <x:v>3584</x:v>
      </x:c>
      <x:c r="F16" s="22" t="str"/>
      <x:c r="G16" s="23"/>
      <x:c r="H16" s="22" t="str"/>
      <x:c r="I16" s="23"/>
      <x:c r="J16" s="21" t="str">
        <x:f>IFERROR(I16/G16,"")</x:f>
      </x:c>
    </x:row>
    <x:row r="17" ht="20" customHeight="1">
      <x:c r="A17" s="19" t="n">
        <x:v>256</x:v>
      </x:c>
      <x:c r="B17" s="19" t="str">
        <x:v>V</x:v>
      </x:c>
      <x:c r="C17" s="19" t="n">
        <x:v>1</x:v>
      </x:c>
      <x:c r="D17" s="19" t="n">
        <x:v>512</x:v>
      </x:c>
      <x:c r="E17" s="19" t="n">
        <x:v>3584</x:v>
      </x:c>
      <x:c r="F17" s="22" t="str"/>
      <x:c r="G17" s="23"/>
      <x:c r="H17" s="22" t="str"/>
      <x:c r="I17" s="23"/>
      <x:c r="J17" s="21" t="str">
        <x:f>IFERROR(I17/G17,"")</x:f>
      </x:c>
    </x:row>
    <x:row r="18" ht="20" customHeight="1">
      <x:c r="A18" s="19" t="n">
        <x:v>256</x:v>
      </x:c>
      <x:c r="B18" s="19" t="str">
        <x:v>Attention QK^T</x:v>
      </x:c>
      <x:c r="C18" s="19" t="n">
        <x:v>28</x:v>
      </x:c>
      <x:c r="D18" s="19" t="n">
        <x:v>256</x:v>
      </x:c>
      <x:c r="E18" s="19" t="n">
        <x:v>128</x:v>
      </x:c>
      <x:c r="F18" s="22" t="str"/>
      <x:c r="G18" s="23"/>
      <x:c r="H18" s="22" t="str"/>
      <x:c r="I18" s="23"/>
      <x:c r="J18" s="21" t="str">
        <x:f>IFERROR(I18/G18,"")</x:f>
      </x:c>
    </x:row>
    <x:row r="19" ht="20" customHeight="1">
      <x:c r="A19" s="19" t="n">
        <x:v>256</x:v>
      </x:c>
      <x:c r="B19" s="19" t="str">
        <x:v>Attention AV</x:v>
      </x:c>
      <x:c r="C19" s="19" t="n">
        <x:v>28</x:v>
      </x:c>
      <x:c r="D19" s="19" t="n">
        <x:v>128</x:v>
      </x:c>
      <x:c r="E19" s="19" t="n">
        <x:v>256</x:v>
      </x:c>
      <x:c r="F19" s="22" t="str"/>
      <x:c r="G19" s="23"/>
      <x:c r="H19" s="22" t="str"/>
      <x:c r="I19" s="23"/>
      <x:c r="J19" s="21" t="str">
        <x:f>IFERROR(I19/G19,"")</x:f>
      </x:c>
    </x:row>
    <x:row r="20" ht="20" customHeight="1">
      <x:c r="A20" s="19" t="n">
        <x:v>256</x:v>
      </x:c>
      <x:c r="B20" s="19" t="str">
        <x:v>Attention Out</x:v>
      </x:c>
      <x:c r="C20" s="19" t="n">
        <x:v>1</x:v>
      </x:c>
      <x:c r="D20" s="19" t="n">
        <x:v>3584</x:v>
      </x:c>
      <x:c r="E20" s="19" t="n">
        <x:v>3584</x:v>
      </x:c>
      <x:c r="F20" s="22" t="str"/>
      <x:c r="G20" s="23"/>
      <x:c r="H20" s="22" t="str"/>
      <x:c r="I20" s="23"/>
      <x:c r="J20" s="21" t="str">
        <x:f>IFERROR(I20/G20,"")</x:f>
      </x:c>
    </x:row>
    <x:row r="21" ht="20" customHeight="1">
      <x:c r="A21" s="19" t="n">
        <x:v>256</x:v>
      </x:c>
      <x:c r="B21" s="19" t="str">
        <x:v>MLP Up/Gate</x:v>
      </x:c>
      <x:c r="C21" s="19" t="n">
        <x:v>1</x:v>
      </x:c>
      <x:c r="D21" s="19" t="n">
        <x:v>37888</x:v>
      </x:c>
      <x:c r="E21" s="19" t="n">
        <x:v>3584</x:v>
      </x:c>
      <x:c r="F21" s="22" t="str"/>
      <x:c r="G21" s="23"/>
      <x:c r="H21" s="22" t="str"/>
      <x:c r="I21" s="23"/>
      <x:c r="J21" s="21" t="str">
        <x:f>IFERROR(I21/G21,"")</x:f>
      </x:c>
    </x:row>
    <x:row r="22" ht="20" customHeight="1">
      <x:c r="A22" s="19" t="n">
        <x:v>256</x:v>
      </x:c>
      <x:c r="B22" s="19" t="str">
        <x:v>MLP Down</x:v>
      </x:c>
      <x:c r="C22" s="19" t="n">
        <x:v>1</x:v>
      </x:c>
      <x:c r="D22" s="19" t="n">
        <x:v>3584</x:v>
      </x:c>
      <x:c r="E22" s="19" t="n">
        <x:v>18944</x:v>
      </x:c>
      <x:c r="F22" s="22" t="str"/>
      <x:c r="G22" s="23"/>
      <x:c r="H22" s="22" t="str"/>
      <x:c r="I22" s="23"/>
      <x:c r="J22" s="21" t="str">
        <x:f>IFERROR(I22/G22,"")</x:f>
      </x:c>
    </x:row>
    <x:row r="23" ht="20" customHeight="1">
      <x:c r="A23" s="19" t="n">
        <x:v>256</x:v>
      </x:c>
      <x:c r="B23" s="19" t="str">
        <x:v>LM Head</x:v>
      </x:c>
      <x:c r="C23" s="19" t="n">
        <x:v>1</x:v>
      </x:c>
      <x:c r="D23" s="19" t="n">
        <x:v>152064</x:v>
      </x:c>
      <x:c r="E23" s="19" t="n">
        <x:v>3584</x:v>
      </x:c>
      <x:c r="F23" s="22" t="str"/>
      <x:c r="G23" s="23"/>
      <x:c r="H23" s="22" t="str"/>
      <x:c r="I23" s="23"/>
      <x:c r="J23" s="21" t="str">
        <x:f>IFERROR(I23/G23,"")</x:f>
      </x:c>
    </x:row>
    <x:row r="24" ht="20" customHeight="1">
      <x:c r="A24" s="19" t="n">
        <x:v>512</x:v>
      </x:c>
      <x:c r="B24" s="19" t="str">
        <x:v>Q</x:v>
      </x:c>
      <x:c r="C24" s="19" t="n">
        <x:v>1</x:v>
      </x:c>
      <x:c r="D24" s="19" t="n">
        <x:v>3584</x:v>
      </x:c>
      <x:c r="E24" s="19" t="n">
        <x:v>3584</x:v>
      </x:c>
      <x:c r="F24" s="22" t="str"/>
      <x:c r="G24" s="23"/>
      <x:c r="H24" s="22" t="str"/>
      <x:c r="I24" s="23"/>
      <x:c r="J24" s="21" t="str">
        <x:f>IFERROR(I24/G24,"")</x:f>
      </x:c>
    </x:row>
    <x:row r="25" ht="20" customHeight="1">
      <x:c r="A25" s="19" t="n">
        <x:v>512</x:v>
      </x:c>
      <x:c r="B25" s="19" t="str">
        <x:v>K</x:v>
      </x:c>
      <x:c r="C25" s="19" t="n">
        <x:v>1</x:v>
      </x:c>
      <x:c r="D25" s="19" t="n">
        <x:v>512</x:v>
      </x:c>
      <x:c r="E25" s="19" t="n">
        <x:v>3584</x:v>
      </x:c>
      <x:c r="F25" s="22" t="str"/>
      <x:c r="G25" s="23"/>
      <x:c r="H25" s="22" t="str"/>
      <x:c r="I25" s="23"/>
      <x:c r="J25" s="21" t="str">
        <x:f>IFERROR(I25/G25,"")</x:f>
      </x:c>
    </x:row>
    <x:row r="26" ht="20" customHeight="1">
      <x:c r="A26" s="19" t="n">
        <x:v>512</x:v>
      </x:c>
      <x:c r="B26" s="19" t="str">
        <x:v>V</x:v>
      </x:c>
      <x:c r="C26" s="19" t="n">
        <x:v>1</x:v>
      </x:c>
      <x:c r="D26" s="19" t="n">
        <x:v>512</x:v>
      </x:c>
      <x:c r="E26" s="19" t="n">
        <x:v>3584</x:v>
      </x:c>
      <x:c r="F26" s="22" t="str"/>
      <x:c r="G26" s="23"/>
      <x:c r="H26" s="22" t="str"/>
      <x:c r="I26" s="23"/>
      <x:c r="J26" s="21" t="str">
        <x:f>IFERROR(I26/G26,"")</x:f>
      </x:c>
    </x:row>
    <x:row r="27" ht="20" customHeight="1">
      <x:c r="A27" s="19" t="n">
        <x:v>512</x:v>
      </x:c>
      <x:c r="B27" s="19" t="str">
        <x:v>Attention QK^T</x:v>
      </x:c>
      <x:c r="C27" s="19" t="n">
        <x:v>28</x:v>
      </x:c>
      <x:c r="D27" s="19" t="n">
        <x:v>512</x:v>
      </x:c>
      <x:c r="E27" s="19" t="n">
        <x:v>128</x:v>
      </x:c>
      <x:c r="F27" s="22" t="str"/>
      <x:c r="G27" s="23"/>
      <x:c r="H27" s="22" t="str"/>
      <x:c r="I27" s="23"/>
      <x:c r="J27" s="21" t="str">
        <x:f>IFERROR(I27/G27,"")</x:f>
      </x:c>
    </x:row>
    <x:row r="28" ht="20" customHeight="1">
      <x:c r="A28" s="19" t="n">
        <x:v>512</x:v>
      </x:c>
      <x:c r="B28" s="19" t="str">
        <x:v>Attention AV</x:v>
      </x:c>
      <x:c r="C28" s="19" t="n">
        <x:v>28</x:v>
      </x:c>
      <x:c r="D28" s="19" t="n">
        <x:v>128</x:v>
      </x:c>
      <x:c r="E28" s="19" t="n">
        <x:v>512</x:v>
      </x:c>
      <x:c r="F28" s="22" t="str"/>
      <x:c r="G28" s="23"/>
      <x:c r="H28" s="22" t="str"/>
      <x:c r="I28" s="23"/>
      <x:c r="J28" s="21" t="str">
        <x:f>IFERROR(I28/G28,"")</x:f>
      </x:c>
    </x:row>
    <x:row r="29" ht="20" customHeight="1">
      <x:c r="A29" s="19" t="n">
        <x:v>512</x:v>
      </x:c>
      <x:c r="B29" s="19" t="str">
        <x:v>Attention Out</x:v>
      </x:c>
      <x:c r="C29" s="19" t="n">
        <x:v>1</x:v>
      </x:c>
      <x:c r="D29" s="19" t="n">
        <x:v>3584</x:v>
      </x:c>
      <x:c r="E29" s="19" t="n">
        <x:v>3584</x:v>
      </x:c>
      <x:c r="F29" s="22" t="str"/>
      <x:c r="G29" s="23"/>
      <x:c r="H29" s="22" t="str"/>
      <x:c r="I29" s="23"/>
      <x:c r="J29" s="21" t="str">
        <x:f>IFERROR(I29/G29,"")</x:f>
      </x:c>
    </x:row>
    <x:row r="30" ht="20" customHeight="1">
      <x:c r="A30" s="19" t="n">
        <x:v>512</x:v>
      </x:c>
      <x:c r="B30" s="19" t="str">
        <x:v>MLP Up/Gate</x:v>
      </x:c>
      <x:c r="C30" s="19" t="n">
        <x:v>1</x:v>
      </x:c>
      <x:c r="D30" s="19" t="n">
        <x:v>37888</x:v>
      </x:c>
      <x:c r="E30" s="19" t="n">
        <x:v>3584</x:v>
      </x:c>
      <x:c r="F30" s="22" t="str"/>
      <x:c r="G30" s="23"/>
      <x:c r="H30" s="22" t="str"/>
      <x:c r="I30" s="23"/>
      <x:c r="J30" s="21" t="str">
        <x:f>IFERROR(I30/G30,"")</x:f>
      </x:c>
    </x:row>
    <x:row r="31" ht="20" customHeight="1">
      <x:c r="A31" s="19" t="n">
        <x:v>512</x:v>
      </x:c>
      <x:c r="B31" s="19" t="str">
        <x:v>MLP Down</x:v>
      </x:c>
      <x:c r="C31" s="19" t="n">
        <x:v>1</x:v>
      </x:c>
      <x:c r="D31" s="19" t="n">
        <x:v>3584</x:v>
      </x:c>
      <x:c r="E31" s="19" t="n">
        <x:v>18944</x:v>
      </x:c>
      <x:c r="F31" s="22" t="str"/>
      <x:c r="G31" s="23"/>
      <x:c r="H31" s="22" t="str"/>
      <x:c r="I31" s="23"/>
      <x:c r="J31" s="21" t="str">
        <x:f>IFERROR(I31/G31,"")</x:f>
      </x:c>
    </x:row>
    <x:row r="32" ht="20" customHeight="1">
      <x:c r="A32" s="19" t="n">
        <x:v>512</x:v>
      </x:c>
      <x:c r="B32" s="19" t="str">
        <x:v>LM Head</x:v>
      </x:c>
      <x:c r="C32" s="19" t="n">
        <x:v>1</x:v>
      </x:c>
      <x:c r="D32" s="19" t="n">
        <x:v>152064</x:v>
      </x:c>
      <x:c r="E32" s="19" t="n">
        <x:v>3584</x:v>
      </x:c>
      <x:c r="F32" s="22" t="str"/>
      <x:c r="G32" s="23"/>
      <x:c r="H32" s="22" t="str"/>
      <x:c r="I32" s="23"/>
      <x:c r="J32" s="21" t="str">
        <x:f>IFERROR(I32/G32,"")</x:f>
      </x:c>
    </x:row>
    <x:row r="33" ht="20" customHeight="1">
      <x:c r="A33" s="19" t="n">
        <x:v>1024</x:v>
      </x:c>
      <x:c r="B33" s="19" t="str">
        <x:v>Q</x:v>
      </x:c>
      <x:c r="C33" s="19" t="n">
        <x:v>1</x:v>
      </x:c>
      <x:c r="D33" s="19" t="n">
        <x:v>3584</x:v>
      </x:c>
      <x:c r="E33" s="19" t="n">
        <x:v>3584</x:v>
      </x:c>
      <x:c r="F33" s="22" t="str"/>
      <x:c r="G33" s="23"/>
      <x:c r="H33" s="22" t="str"/>
      <x:c r="I33" s="23"/>
      <x:c r="J33" s="21" t="str">
        <x:f>IFERROR(I33/G33,"")</x:f>
      </x:c>
    </x:row>
    <x:row r="34" ht="20" customHeight="1">
      <x:c r="A34" s="19" t="n">
        <x:v>1024</x:v>
      </x:c>
      <x:c r="B34" s="19" t="str">
        <x:v>K</x:v>
      </x:c>
      <x:c r="C34" s="19" t="n">
        <x:v>1</x:v>
      </x:c>
      <x:c r="D34" s="19" t="n">
        <x:v>512</x:v>
      </x:c>
      <x:c r="E34" s="19" t="n">
        <x:v>3584</x:v>
      </x:c>
      <x:c r="F34" s="22" t="str"/>
      <x:c r="G34" s="23"/>
      <x:c r="H34" s="22" t="str"/>
      <x:c r="I34" s="23"/>
      <x:c r="J34" s="21" t="str">
        <x:f>IFERROR(I34/G34,"")</x:f>
      </x:c>
    </x:row>
    <x:row r="35" ht="20" customHeight="1">
      <x:c r="A35" s="19" t="n">
        <x:v>1024</x:v>
      </x:c>
      <x:c r="B35" s="19" t="str">
        <x:v>V</x:v>
      </x:c>
      <x:c r="C35" s="19" t="n">
        <x:v>1</x:v>
      </x:c>
      <x:c r="D35" s="19" t="n">
        <x:v>512</x:v>
      </x:c>
      <x:c r="E35" s="19" t="n">
        <x:v>3584</x:v>
      </x:c>
      <x:c r="F35" s="22" t="str"/>
      <x:c r="G35" s="23"/>
      <x:c r="H35" s="22" t="str"/>
      <x:c r="I35" s="23"/>
      <x:c r="J35" s="21" t="str">
        <x:f>IFERROR(I35/G35,"")</x:f>
      </x:c>
    </x:row>
    <x:row r="36" ht="20" customHeight="1">
      <x:c r="A36" s="19" t="n">
        <x:v>1024</x:v>
      </x:c>
      <x:c r="B36" s="19" t="str">
        <x:v>Attention QK^T</x:v>
      </x:c>
      <x:c r="C36" s="19" t="n">
        <x:v>28</x:v>
      </x:c>
      <x:c r="D36" s="19" t="n">
        <x:v>1024</x:v>
      </x:c>
      <x:c r="E36" s="19" t="n">
        <x:v>128</x:v>
      </x:c>
      <x:c r="F36" s="22" t="str"/>
      <x:c r="G36" s="23"/>
      <x:c r="H36" s="22" t="str"/>
      <x:c r="I36" s="23"/>
      <x:c r="J36" s="21" t="str">
        <x:f>IFERROR(I36/G36,"")</x:f>
      </x:c>
    </x:row>
    <x:row r="37" ht="20" customHeight="1">
      <x:c r="A37" s="19" t="n">
        <x:v>1024</x:v>
      </x:c>
      <x:c r="B37" s="19" t="str">
        <x:v>Attention AV</x:v>
      </x:c>
      <x:c r="C37" s="19" t="n">
        <x:v>28</x:v>
      </x:c>
      <x:c r="D37" s="19" t="n">
        <x:v>128</x:v>
      </x:c>
      <x:c r="E37" s="19" t="n">
        <x:v>1024</x:v>
      </x:c>
      <x:c r="F37" s="22" t="str"/>
      <x:c r="G37" s="23"/>
      <x:c r="H37" s="22" t="str"/>
      <x:c r="I37" s="23"/>
      <x:c r="J37" s="21" t="str">
        <x:f>IFERROR(I37/G37,"")</x:f>
      </x:c>
    </x:row>
    <x:row r="38" ht="20" customHeight="1">
      <x:c r="A38" s="19" t="n">
        <x:v>1024</x:v>
      </x:c>
      <x:c r="B38" s="19" t="str">
        <x:v>Attention Out</x:v>
      </x:c>
      <x:c r="C38" s="19" t="n">
        <x:v>1</x:v>
      </x:c>
      <x:c r="D38" s="19" t="n">
        <x:v>3584</x:v>
      </x:c>
      <x:c r="E38" s="19" t="n">
        <x:v>3584</x:v>
      </x:c>
      <x:c r="F38" s="22" t="str"/>
      <x:c r="G38" s="23"/>
      <x:c r="H38" s="22" t="str"/>
      <x:c r="I38" s="23"/>
      <x:c r="J38" s="21" t="str">
        <x:f>IFERROR(I38/G38,"")</x:f>
      </x:c>
    </x:row>
    <x:row r="39" ht="20" customHeight="1">
      <x:c r="A39" s="19" t="n">
        <x:v>1024</x:v>
      </x:c>
      <x:c r="B39" s="19" t="str">
        <x:v>MLP Up/Gate</x:v>
      </x:c>
      <x:c r="C39" s="19" t="n">
        <x:v>1</x:v>
      </x:c>
      <x:c r="D39" s="19" t="n">
        <x:v>37888</x:v>
      </x:c>
      <x:c r="E39" s="19" t="n">
        <x:v>3584</x:v>
      </x:c>
      <x:c r="F39" s="22" t="str"/>
      <x:c r="G39" s="23"/>
      <x:c r="H39" s="22" t="str"/>
      <x:c r="I39" s="23"/>
      <x:c r="J39" s="21" t="str">
        <x:f>IFERROR(I39/G39,"")</x:f>
      </x:c>
    </x:row>
    <x:row r="40" ht="20" customHeight="1">
      <x:c r="A40" s="19" t="n">
        <x:v>1024</x:v>
      </x:c>
      <x:c r="B40" s="19" t="str">
        <x:v>MLP Down</x:v>
      </x:c>
      <x:c r="C40" s="19" t="n">
        <x:v>1</x:v>
      </x:c>
      <x:c r="D40" s="19" t="n">
        <x:v>3584</x:v>
      </x:c>
      <x:c r="E40" s="19" t="n">
        <x:v>18944</x:v>
      </x:c>
      <x:c r="F40" s="22" t="str"/>
      <x:c r="G40" s="23"/>
      <x:c r="H40" s="22" t="str"/>
      <x:c r="I40" s="23"/>
      <x:c r="J40" s="21" t="str">
        <x:f>IFERROR(I40/G40,"")</x:f>
      </x:c>
    </x:row>
    <x:row r="41" ht="20" customHeight="1">
      <x:c r="A41" s="19" t="n">
        <x:v>1024</x:v>
      </x:c>
      <x:c r="B41" s="19" t="str">
        <x:v>LM Head</x:v>
      </x:c>
      <x:c r="C41" s="19" t="n">
        <x:v>1</x:v>
      </x:c>
      <x:c r="D41" s="19" t="n">
        <x:v>152064</x:v>
      </x:c>
      <x:c r="E41" s="19" t="n">
        <x:v>3584</x:v>
      </x:c>
      <x:c r="F41" s="22" t="str"/>
      <x:c r="G41" s="23"/>
      <x:c r="H41" s="22" t="str"/>
      <x:c r="I41" s="23"/>
      <x:c r="J41" s="21" t="str">
        <x:f>IFERROR(I41/G41,"")</x:f>
      </x:c>
    </x:row>
    <x:row r="42" ht="20" customHeight="1">
      <x:c r="A42" s="19" t="n">
        <x:v>2048</x:v>
      </x:c>
      <x:c r="B42" s="19" t="str">
        <x:v>Q</x:v>
      </x:c>
      <x:c r="C42" s="19" t="n">
        <x:v>1</x:v>
      </x:c>
      <x:c r="D42" s="19" t="n">
        <x:v>3584</x:v>
      </x:c>
      <x:c r="E42" s="19" t="n">
        <x:v>3584</x:v>
      </x:c>
      <x:c r="F42" s="22" t="str"/>
      <x:c r="G42" s="23"/>
      <x:c r="H42" s="22" t="str"/>
      <x:c r="I42" s="23"/>
      <x:c r="J42" s="21" t="str">
        <x:f>IFERROR(I42/G42,"")</x:f>
      </x:c>
    </x:row>
    <x:row r="43" ht="20" customHeight="1">
      <x:c r="A43" s="19" t="n">
        <x:v>2048</x:v>
      </x:c>
      <x:c r="B43" s="19" t="str">
        <x:v>K</x:v>
      </x:c>
      <x:c r="C43" s="19" t="n">
        <x:v>1</x:v>
      </x:c>
      <x:c r="D43" s="19" t="n">
        <x:v>512</x:v>
      </x:c>
      <x:c r="E43" s="19" t="n">
        <x:v>3584</x:v>
      </x:c>
      <x:c r="F43" s="22" t="str"/>
      <x:c r="G43" s="23"/>
      <x:c r="H43" s="22" t="str"/>
      <x:c r="I43" s="23"/>
      <x:c r="J43" s="21" t="str">
        <x:f>IFERROR(I43/G43,"")</x:f>
      </x:c>
    </x:row>
    <x:row r="44" ht="20" customHeight="1">
      <x:c r="A44" s="19" t="n">
        <x:v>2048</x:v>
      </x:c>
      <x:c r="B44" s="19" t="str">
        <x:v>V</x:v>
      </x:c>
      <x:c r="C44" s="19" t="n">
        <x:v>1</x:v>
      </x:c>
      <x:c r="D44" s="19" t="n">
        <x:v>512</x:v>
      </x:c>
      <x:c r="E44" s="19" t="n">
        <x:v>3584</x:v>
      </x:c>
      <x:c r="F44" s="22" t="str"/>
      <x:c r="G44" s="23"/>
      <x:c r="H44" s="22" t="str"/>
      <x:c r="I44" s="23"/>
      <x:c r="J44" s="21" t="str">
        <x:f>IFERROR(I44/G44,"")</x:f>
      </x:c>
    </x:row>
    <x:row r="45" ht="20" customHeight="1">
      <x:c r="A45" s="19" t="n">
        <x:v>2048</x:v>
      </x:c>
      <x:c r="B45" s="19" t="str">
        <x:v>Attention QK^T</x:v>
      </x:c>
      <x:c r="C45" s="19" t="n">
        <x:v>28</x:v>
      </x:c>
      <x:c r="D45" s="19" t="n">
        <x:v>2048</x:v>
      </x:c>
      <x:c r="E45" s="19" t="n">
        <x:v>128</x:v>
      </x:c>
      <x:c r="F45" s="22" t="str"/>
      <x:c r="G45" s="23"/>
      <x:c r="H45" s="22" t="str"/>
      <x:c r="I45" s="23"/>
      <x:c r="J45" s="21" t="str">
        <x:f>IFERROR(I45/G45,"")</x:f>
      </x:c>
    </x:row>
    <x:row r="46" ht="20" customHeight="1">
      <x:c r="A46" s="19" t="n">
        <x:v>2048</x:v>
      </x:c>
      <x:c r="B46" s="19" t="str">
        <x:v>Attention AV</x:v>
      </x:c>
      <x:c r="C46" s="19" t="n">
        <x:v>28</x:v>
      </x:c>
      <x:c r="D46" s="19" t="n">
        <x:v>128</x:v>
      </x:c>
      <x:c r="E46" s="19" t="n">
        <x:v>2048</x:v>
      </x:c>
      <x:c r="F46" s="22" t="str"/>
      <x:c r="G46" s="23"/>
      <x:c r="H46" s="22" t="str"/>
      <x:c r="I46" s="23"/>
      <x:c r="J46" s="21" t="str">
        <x:f>IFERROR(I46/G46,"")</x:f>
      </x:c>
    </x:row>
    <x:row r="47" ht="20" customHeight="1">
      <x:c r="A47" s="19" t="n">
        <x:v>2048</x:v>
      </x:c>
      <x:c r="B47" s="19" t="str">
        <x:v>Attention Out</x:v>
      </x:c>
      <x:c r="C47" s="19" t="n">
        <x:v>1</x:v>
      </x:c>
      <x:c r="D47" s="19" t="n">
        <x:v>3584</x:v>
      </x:c>
      <x:c r="E47" s="19" t="n">
        <x:v>3584</x:v>
      </x:c>
      <x:c r="F47" s="22" t="str"/>
      <x:c r="G47" s="23"/>
      <x:c r="H47" s="22" t="str"/>
      <x:c r="I47" s="23"/>
      <x:c r="J47" s="21" t="str">
        <x:f>IFERROR(I47/G47,"")</x:f>
      </x:c>
    </x:row>
    <x:row r="48" ht="20" customHeight="1">
      <x:c r="A48" s="19" t="n">
        <x:v>2048</x:v>
      </x:c>
      <x:c r="B48" s="19" t="str">
        <x:v>MLP Up/Gate</x:v>
      </x:c>
      <x:c r="C48" s="19" t="n">
        <x:v>1</x:v>
      </x:c>
      <x:c r="D48" s="19" t="n">
        <x:v>37888</x:v>
      </x:c>
      <x:c r="E48" s="19" t="n">
        <x:v>3584</x:v>
      </x:c>
      <x:c r="F48" s="22" t="str"/>
      <x:c r="G48" s="23"/>
      <x:c r="H48" s="22" t="str"/>
      <x:c r="I48" s="23"/>
      <x:c r="J48" s="21" t="str">
        <x:f>IFERROR(I48/G48,"")</x:f>
      </x:c>
    </x:row>
    <x:row r="49" ht="20" customHeight="1">
      <x:c r="A49" s="19" t="n">
        <x:v>2048</x:v>
      </x:c>
      <x:c r="B49" s="19" t="str">
        <x:v>MLP Down</x:v>
      </x:c>
      <x:c r="C49" s="19" t="n">
        <x:v>1</x:v>
      </x:c>
      <x:c r="D49" s="19" t="n">
        <x:v>3584</x:v>
      </x:c>
      <x:c r="E49" s="19" t="n">
        <x:v>18944</x:v>
      </x:c>
      <x:c r="F49" s="22" t="str"/>
      <x:c r="G49" s="23"/>
      <x:c r="H49" s="22" t="str"/>
      <x:c r="I49" s="23"/>
      <x:c r="J49" s="21" t="str">
        <x:f>IFERROR(I49/G49,"")</x:f>
      </x:c>
    </x:row>
    <x:row r="50" ht="20" customHeight="1">
      <x:c r="A50" s="19" t="n">
        <x:v>2048</x:v>
      </x:c>
      <x:c r="B50" s="19" t="str">
        <x:v>LM Head</x:v>
      </x:c>
      <x:c r="C50" s="19" t="n">
        <x:v>1</x:v>
      </x:c>
      <x:c r="D50" s="19" t="n">
        <x:v>152064</x:v>
      </x:c>
      <x:c r="E50" s="19" t="n">
        <x:v>3584</x:v>
      </x:c>
      <x:c r="F50" s="22" t="str"/>
      <x:c r="G50" s="23"/>
      <x:c r="H50" s="22" t="str"/>
      <x:c r="I50" s="23"/>
      <x:c r="J50" s="21" t="str">
        <x:f>IFERROR(I50/G50,"")</x:f>
      </x:c>
    </x:row>
  </x:sheetData>
  <x:mergeCells>
    <x:mergeCell ref="A1:J1"/>
    <x:mergeCell ref="A3:J3"/>
  </x:mergeCells>
  <x:conditionalFormatting sqref="J6:J50">
    <x:cfRule type="cellIs" dxfId="0" priority="1" operator="greaterThan">
      <x:formula>1</x:formula>
    </x:cfRule>
    <x:cfRule type="cellIs" dxfId="1" priority="2" operator="lessThan">
      <x:formula>1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a81dc51d8874039"/>
  </x:tableParts>
</x:worksheet>
</file>